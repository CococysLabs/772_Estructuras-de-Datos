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ia" sheetId="1" r:id="rId4"/>
  </sheets>
  <definedNames/>
  <calcPr/>
  <extLst>
    <ext uri="GoogleSheetsCustomDataVersion2">
      <go:sheetsCustomData xmlns:go="http://customooxmlschemas.google.com/" r:id="rId5" roundtripDataChecksum="U0q+IQpBk4IC1rbna6xpuA4tfk3fL4rvUhloTdOJ1r8="/>
    </ext>
  </extLst>
</workbook>
</file>

<file path=xl/sharedStrings.xml><?xml version="1.0" encoding="utf-8"?>
<sst xmlns="http://schemas.openxmlformats.org/spreadsheetml/2006/main" count="72" uniqueCount="69">
  <si>
    <t>Universidad de San Carlos de Guatemala
Facultad de Ingeniería
Escuela de Ciencias y Sistemas
Estructura de Datos - Sección 
Ing. 
Auxiliar:</t>
  </si>
  <si>
    <t>Hoja de calificacion - Proyecto Fase 3</t>
  </si>
  <si>
    <t>Fecha:</t>
  </si>
  <si>
    <t>Carné:</t>
  </si>
  <si>
    <t>Nombre:</t>
  </si>
  <si>
    <t>Descripción de ponderación</t>
  </si>
  <si>
    <t>Valor</t>
  </si>
  <si>
    <t>Observaciones</t>
  </si>
  <si>
    <t>Puntero</t>
  </si>
  <si>
    <t>1. Implementación de estructuras de datos y algoritmos</t>
  </si>
  <si>
    <t>Árbol de Expansión Mínima – Algoritmo de Prim</t>
  </si>
  <si>
    <t>Árbol de Expansión Mínima – Algoritmo de Kruskal</t>
  </si>
  <si>
    <t>Estructura de conjuntos disjuntos Union-Find</t>
  </si>
  <si>
    <t>Blockchain como lista enlazada simple</t>
  </si>
  <si>
    <t>Estructura completa de los bloques</t>
  </si>
  <si>
    <t>Prueba de trabajo con SHA-256 y prefijo 0000</t>
  </si>
  <si>
    <t>Persistencia y verificación de bloques JSON</t>
  </si>
  <si>
    <t>Construcción del Árbol de Merkle</t>
  </si>
  <si>
    <t>Prueba de inclusión y verificación de ROOTMERKLE</t>
  </si>
  <si>
    <t>Compresión LZW</t>
  </si>
  <si>
    <t>Descompresión LZW</t>
  </si>
  <si>
    <t>Generación y recuperación de archivos .edd</t>
  </si>
  <si>
    <t>Sub-Total</t>
  </si>
  <si>
    <t>2. Funcionalidades del sistema</t>
  </si>
  <si>
    <t>2.1 Funciones del módulo Administrador</t>
  </si>
  <si>
    <t>Gestión de Data Centers y enlaces del backbone</t>
  </si>
  <si>
    <t>Activación, desactivación y simulación de fallas de enlaces</t>
  </si>
  <si>
    <t>Cálculo de la red troncal mediante Prim y Kruskal</t>
  </si>
  <si>
    <t>Comparación de costos y rutas de la red troncal</t>
  </si>
  <si>
    <t>Gestión y despacho de trabajos mediante Min-Heap</t>
  </si>
  <si>
    <t>Generación de transacciones pendientes de auditoría</t>
  </si>
  <si>
    <t>Creación y consulta de bloques de la blockchain</t>
  </si>
  <si>
    <t>Verificación de la blockchain y del Árbol de Merkle</t>
  </si>
  <si>
    <t>Persistencia y recuperación mediante archivos .edd</t>
  </si>
  <si>
    <t>Carga masiva JSON con reporte de éxitos y fallos</t>
  </si>
  <si>
    <t>2.2 Funciones del módulo Usuario DevOps / Cliente Corporativo</t>
  </si>
  <si>
    <t>Inicio de sesión y autenticación del usuario</t>
  </si>
  <si>
    <t>Solicitud de trabajos</t>
  </si>
  <si>
    <t>Seguimiento de estados EN COLA, EJECUTADO y AUDITADO</t>
  </si>
  <si>
    <t>Consulta de la red troncal de menor latencia</t>
  </si>
  <si>
    <t>Consulta de rutas entre Data Centers</t>
  </si>
  <si>
    <t>Consulta del historial auditado de trabajos</t>
  </si>
  <si>
    <t>Verificación de comprobantes y pruebas de inclusión de Merkle</t>
  </si>
  <si>
    <t>3. Reportes gráficos con Graphviz</t>
  </si>
  <si>
    <t>Reporte del Árbol de Expansión Mínima con Prim</t>
  </si>
  <si>
    <t>Reporte del Árbol de Expansión Mínima con Kruskal</t>
  </si>
  <si>
    <t>Reporte del Árbol de Merkle del último bloque</t>
  </si>
  <si>
    <t>Reporte completo de la Blockchain</t>
  </si>
  <si>
    <t>4. Manual técnico y documentación</t>
  </si>
  <si>
    <t>Manual técnico en formato Markdown</t>
  </si>
  <si>
    <t>Explicación de Prim, Kruskal y Union-Find</t>
  </si>
  <si>
    <t>Explicación de Blockchain y Árbol de Merkle</t>
  </si>
  <si>
    <t>Explicación de compresión y descompresión LZW</t>
  </si>
  <si>
    <t>Análisis de complejidad y decisiones de diseño</t>
  </si>
  <si>
    <t>Organización del repositorio y estructura de carpetas</t>
  </si>
  <si>
    <t>Commits frecuentes, código comentado y evidencias</t>
  </si>
  <si>
    <t>Puntuación Total</t>
  </si>
  <si>
    <t>Penalizaciones</t>
  </si>
  <si>
    <t>No implementó un manejo de errores adecuado</t>
  </si>
  <si>
    <t>Utilizó un lenguaje diferente al requerido</t>
  </si>
  <si>
    <t>No implementó manualmente las estructuras</t>
  </si>
  <si>
    <t>Falta de puntualidad en la calificación</t>
  </si>
  <si>
    <t>Los recorridos/reportes no se visualizan desde la interfaz</t>
  </si>
  <si>
    <t>No entregó su repositorio en UEDI</t>
  </si>
  <si>
    <t>TOTAL FINAL</t>
  </si>
  <si>
    <t>Firma del estudiante</t>
  </si>
  <si>
    <t>Firma del auxiliar</t>
  </si>
  <si>
    <t>Origianal Estudiante</t>
  </si>
  <si>
    <t>Copia tutor Académico (a entregar a coordinación DTT-ECYS)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</si>
</sst>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theme="1"/>
      <name val="Arial"/>
    </font>
    <font>
      <b/>
      <sz val="19.0"/>
      <color theme="1"/>
      <name val="Times New Roman"/>
    </font>
    <font/>
    <font>
      <b/>
      <sz val="12.0"/>
      <color rgb="FFFFFFFF"/>
      <name val="Times New Roman"/>
    </font>
    <font>
      <b/>
      <sz val="11.0"/>
      <color theme="1"/>
      <name val="Quattrocento Sans"/>
    </font>
    <font>
      <b/>
      <color theme="1"/>
      <name val="Arial"/>
    </font>
    <font>
      <b/>
      <sz val="12.0"/>
      <color theme="1"/>
      <name val="Times New Roman"/>
    </font>
    <font>
      <sz val="11.0"/>
      <color theme="1"/>
      <name val="Quattrocento Sans"/>
    </font>
    <font>
      <color theme="1"/>
      <name val="Arial"/>
    </font>
    <font>
      <sz val="11.0"/>
      <color theme="1"/>
      <name val="Arial"/>
    </font>
    <font>
      <b/>
      <sz val="11.0"/>
      <color rgb="FFFFFFFF"/>
      <name val="Arial"/>
    </font>
    <font>
      <sz val="12.0"/>
      <color rgb="FFFFFFFF"/>
      <name val="Times New Roman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93C47D"/>
        <bgColor rgb="FF93C47D"/>
      </patternFill>
    </fill>
  </fills>
  <borders count="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1" fillId="0" fontId="4" numFmtId="0" xfId="0" applyBorder="1" applyFont="1"/>
    <xf borderId="2" fillId="2" fontId="5" numFmtId="0" xfId="0" applyAlignment="1" applyBorder="1" applyFill="1" applyFont="1">
      <alignment horizontal="left" vertical="bottom"/>
    </xf>
    <xf borderId="3" fillId="0" fontId="4" numFmtId="0" xfId="0" applyBorder="1" applyFont="1"/>
    <xf borderId="4" fillId="2" fontId="5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4" fillId="3" fontId="6" numFmtId="0" xfId="0" applyAlignment="1" applyBorder="1" applyFill="1" applyFont="1">
      <alignment horizontal="left"/>
    </xf>
    <xf borderId="4" fillId="3" fontId="8" numFmtId="164" xfId="0" applyAlignment="1" applyBorder="1" applyFill="1" applyFont="1" applyNumberFormat="1">
      <alignment horizontal="center" shrinkToFit="0" vertical="bottom" wrapText="1"/>
    </xf>
    <xf borderId="4" fillId="3" fontId="1" numFmtId="0" xfId="0" applyAlignment="1" applyBorder="1" applyFill="1" applyFont="1">
      <alignment horizontal="center" vertical="bottom"/>
    </xf>
    <xf borderId="4" fillId="3" fontId="8" numFmtId="2" xfId="0" applyAlignment="1" applyBorder="1" applyFill="1" applyFont="1" applyNumberFormat="1">
      <alignment horizontal="center" vertical="bottom"/>
    </xf>
    <xf borderId="0" fillId="0" fontId="9" numFmtId="0" xfId="0" applyFont="1"/>
    <xf borderId="4" fillId="0" fontId="9" numFmtId="0" xfId="0" applyAlignment="1" applyBorder="1" applyFont="1">
      <alignment horizontal="left"/>
    </xf>
    <xf borderId="4" fillId="0" fontId="9" numFmtId="164" xfId="0" applyAlignment="1" applyBorder="1" applyFont="1" applyNumberFormat="1">
      <alignment horizontal="center"/>
    </xf>
    <xf borderId="4" fillId="0" fontId="1" numFmtId="1" xfId="0" applyAlignment="1" applyBorder="1" applyFont="1" applyNumberFormat="1">
      <alignment horizontal="center" vertical="bottom"/>
    </xf>
    <xf borderId="4" fillId="0" fontId="10" numFmtId="0" xfId="0" applyAlignment="1" applyBorder="1" applyFont="1">
      <alignment horizontal="center"/>
    </xf>
    <xf borderId="2" fillId="0" fontId="9" numFmtId="0" xfId="0" applyAlignment="1" applyBorder="1" applyFont="1">
      <alignment horizontal="left"/>
    </xf>
    <xf borderId="4" fillId="0" fontId="11" numFmtId="164" xfId="0" applyAlignment="1" applyBorder="1" applyFont="1" applyNumberFormat="1">
      <alignment horizontal="center"/>
    </xf>
    <xf borderId="0" fillId="0" fontId="11" numFmtId="0" xfId="0" applyFont="1"/>
    <xf borderId="4" fillId="0" fontId="6" numFmtId="0" xfId="0" applyAlignment="1" applyBorder="1" applyFont="1">
      <alignment horizontal="left"/>
    </xf>
    <xf borderId="4" fillId="0" fontId="10" numFmtId="164" xfId="0" applyAlignment="1" applyBorder="1" applyFont="1" applyNumberFormat="1">
      <alignment horizontal="center"/>
    </xf>
    <xf borderId="4" fillId="2" fontId="12" numFmtId="0" xfId="0" applyAlignment="1" applyBorder="1" applyFill="1" applyFont="1">
      <alignment horizontal="left"/>
    </xf>
    <xf borderId="4" fillId="2" fontId="5" numFmtId="164" xfId="0" applyAlignment="1" applyBorder="1" applyFill="1" applyFont="1" applyNumberFormat="1">
      <alignment horizontal="center" shrinkToFit="0" vertical="bottom" wrapText="1"/>
    </xf>
    <xf borderId="4" fillId="2" fontId="13" numFmtId="0" xfId="0" applyAlignment="1" applyBorder="1" applyFill="1" applyFont="1">
      <alignment horizontal="center" vertical="bottom"/>
    </xf>
    <xf borderId="4" fillId="2" fontId="5" numFmtId="2" xfId="0" applyAlignment="1" applyBorder="1" applyFill="1" applyFont="1" applyNumberFormat="1">
      <alignment horizontal="center" vertical="bottom"/>
    </xf>
    <xf borderId="0" fillId="0" fontId="14" numFmtId="0" xfId="0" applyAlignment="1" applyFont="1">
      <alignment horizontal="center"/>
    </xf>
    <xf borderId="4" fillId="0" fontId="1" numFmtId="164" xfId="0" applyAlignment="1" applyBorder="1" applyFont="1" applyNumberFormat="1">
      <alignment horizontal="center" shrinkToFit="0" vertical="bottom" wrapText="1"/>
    </xf>
    <xf borderId="4" fillId="0" fontId="1" numFmtId="0" xfId="0" applyAlignment="1" applyBorder="1" applyFont="1">
      <alignment horizontal="center" vertical="bottom"/>
    </xf>
    <xf borderId="4" fillId="0" fontId="1" numFmtId="2" xfId="0" applyAlignment="1" applyBorder="1" applyFont="1" applyNumberFormat="1">
      <alignment horizontal="center" vertical="bottom"/>
    </xf>
    <xf borderId="4" fillId="0" fontId="11" numFmtId="0" xfId="0" applyAlignment="1" applyBorder="1" applyFont="1">
      <alignment horizontal="left"/>
    </xf>
    <xf borderId="0" fillId="0" fontId="10" numFmtId="0" xfId="0" applyAlignment="1" applyFont="1">
      <alignment vertical="bottom"/>
    </xf>
    <xf borderId="4" fillId="0" fontId="8" numFmtId="2" xfId="0" applyAlignment="1" applyBorder="1" applyFont="1" applyNumberFormat="1">
      <alignment horizontal="center" vertical="bottom"/>
    </xf>
    <xf borderId="2" fillId="2" fontId="5" numFmtId="0" xfId="0" applyAlignment="1" applyBorder="1" applyFill="1" applyFont="1">
      <alignment horizontal="center" vertical="bottom"/>
    </xf>
    <xf borderId="4" fillId="2" fontId="5" numFmtId="1" xfId="0" applyAlignment="1" applyBorder="1" applyFill="1" applyFont="1" applyNumberFormat="1">
      <alignment horizontal="center" shrinkToFit="0" vertical="bottom" wrapText="1"/>
    </xf>
    <xf borderId="2" fillId="0" fontId="1" numFmtId="0" xfId="0" applyAlignment="1" applyBorder="1" applyFont="1">
      <alignment vertical="bottom"/>
    </xf>
    <xf borderId="4" fillId="0" fontId="1" numFmtId="10" xfId="0" applyAlignment="1" applyBorder="1" applyFont="1" applyNumberFormat="1">
      <alignment horizontal="center" shrinkToFit="0" vertical="bottom" wrapText="1"/>
    </xf>
    <xf borderId="4" fillId="2" fontId="13" numFmtId="0" xfId="0" applyAlignment="1" applyBorder="1" applyFill="1" applyFont="1">
      <alignment vertical="bottom"/>
    </xf>
    <xf borderId="5" fillId="0" fontId="1" numFmtId="0" xfId="0" applyAlignment="1" applyBorder="1" applyFont="1">
      <alignment horizontal="center" vertical="bottom"/>
    </xf>
    <xf borderId="5" fillId="0" fontId="4" numFmtId="0" xfId="0" applyBorder="1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609600</xdr:colOff>
      <xdr:row>1</xdr:row>
      <xdr:rowOff>28575</xdr:rowOff>
    </xdr:from>
    <xdr:ext cx="962025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25.25"/>
    <col customWidth="1" min="4" max="4" width="7.5"/>
    <col customWidth="1" min="8" max="8" width="52.5"/>
  </cols>
  <sheetData>
    <row r="1" ht="15.7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" t="s">
        <v>2</v>
      </c>
      <c r="B9" s="5"/>
      <c r="C9" s="6" t="s">
        <v>3</v>
      </c>
      <c r="D9" s="5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4" t="s">
        <v>4</v>
      </c>
      <c r="B10" s="5"/>
      <c r="C10" s="8"/>
      <c r="D10" s="8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7"/>
      <c r="B11" s="7"/>
      <c r="C11" s="7"/>
      <c r="D11" s="7"/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9" t="s">
        <v>5</v>
      </c>
      <c r="B12" s="10"/>
      <c r="C12" s="11" t="s">
        <v>6</v>
      </c>
      <c r="D12" s="11" t="s">
        <v>7</v>
      </c>
      <c r="E12" s="11" t="s">
        <v>8</v>
      </c>
      <c r="F12" s="2"/>
      <c r="G12" s="2"/>
      <c r="H12" s="12"/>
      <c r="I12" s="12"/>
      <c r="J12" s="12"/>
      <c r="K12" s="1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4" t="s">
        <v>9</v>
      </c>
      <c r="B13" s="14"/>
      <c r="C13" s="15">
        <f>SUM(C14:C25)</f>
        <v>44</v>
      </c>
      <c r="D13" s="16"/>
      <c r="E13" s="17">
        <f>SUM(E14:E17)</f>
        <v>0</v>
      </c>
      <c r="F13" s="2"/>
      <c r="G13" s="2"/>
      <c r="H13" s="12"/>
      <c r="I13" s="18"/>
      <c r="J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9" t="s">
        <v>10</v>
      </c>
      <c r="B14" s="19"/>
      <c r="C14" s="20">
        <v>10.0</v>
      </c>
      <c r="D14" s="21"/>
      <c r="E14" s="21"/>
      <c r="F14" s="2"/>
      <c r="G14" s="2"/>
      <c r="H14" s="18"/>
      <c r="I14" s="18"/>
      <c r="J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9" t="s">
        <v>11</v>
      </c>
      <c r="B15" s="19"/>
      <c r="C15" s="20">
        <v>7.0</v>
      </c>
      <c r="D15" s="21"/>
      <c r="E15" s="21"/>
      <c r="F15" s="2"/>
      <c r="G15" s="2"/>
      <c r="H15" s="18"/>
      <c r="I15" s="18"/>
      <c r="J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9" t="s">
        <v>12</v>
      </c>
      <c r="B16" s="19"/>
      <c r="C16" s="20">
        <v>3.0</v>
      </c>
      <c r="D16" s="21"/>
      <c r="E16" s="21"/>
      <c r="F16" s="2"/>
      <c r="G16" s="2"/>
      <c r="H16" s="18"/>
      <c r="I16" s="18"/>
      <c r="J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9" t="s">
        <v>13</v>
      </c>
      <c r="B17" s="19"/>
      <c r="C17" s="20">
        <v>4.0</v>
      </c>
      <c r="D17" s="21"/>
      <c r="E17" s="21"/>
      <c r="F17" s="2"/>
      <c r="G17" s="2"/>
      <c r="H17" s="18"/>
      <c r="I17" s="18"/>
      <c r="J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9" t="s">
        <v>14</v>
      </c>
      <c r="B18" s="19"/>
      <c r="C18" s="20">
        <v>2.0</v>
      </c>
      <c r="D18" s="21"/>
      <c r="E18" s="21"/>
      <c r="F18" s="2"/>
      <c r="G18" s="2"/>
      <c r="H18" s="18"/>
      <c r="I18" s="18"/>
      <c r="J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9" t="s">
        <v>15</v>
      </c>
      <c r="B19" s="19"/>
      <c r="C19" s="20">
        <v>3.0</v>
      </c>
      <c r="D19" s="21"/>
      <c r="E19" s="21"/>
      <c r="F19" s="2"/>
      <c r="G19" s="2"/>
      <c r="H19" s="18"/>
      <c r="I19" s="18"/>
      <c r="J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9" t="s">
        <v>16</v>
      </c>
      <c r="B20" s="19"/>
      <c r="C20" s="20">
        <v>3.0</v>
      </c>
      <c r="D20" s="21"/>
      <c r="E20" s="21"/>
      <c r="F20" s="2"/>
      <c r="G20" s="2"/>
      <c r="H20" s="18"/>
      <c r="I20" s="18"/>
      <c r="J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9" t="s">
        <v>17</v>
      </c>
      <c r="B21" s="19"/>
      <c r="C21" s="20">
        <v>3.0</v>
      </c>
      <c r="D21" s="22"/>
      <c r="E21" s="22"/>
      <c r="F21" s="2"/>
      <c r="G21" s="2"/>
      <c r="H21" s="18"/>
      <c r="I21" s="18"/>
      <c r="J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9" t="s">
        <v>18</v>
      </c>
      <c r="B22" s="19"/>
      <c r="C22" s="20">
        <v>2.0</v>
      </c>
      <c r="D22" s="22"/>
      <c r="E22" s="22"/>
      <c r="F22" s="2"/>
      <c r="G22" s="2"/>
      <c r="H22" s="18"/>
      <c r="I22" s="18"/>
      <c r="J22" s="1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3" t="s">
        <v>19</v>
      </c>
      <c r="B23" s="10"/>
      <c r="C23" s="20">
        <v>3.0</v>
      </c>
      <c r="D23" s="22"/>
      <c r="E23" s="22"/>
      <c r="F23" s="2"/>
      <c r="G23" s="2"/>
      <c r="H23" s="18"/>
      <c r="I23" s="18"/>
      <c r="J23" s="1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3" t="s">
        <v>20</v>
      </c>
      <c r="B24" s="10"/>
      <c r="C24" s="20">
        <v>2.0</v>
      </c>
      <c r="D24" s="22"/>
      <c r="E24" s="22"/>
      <c r="F24" s="2"/>
      <c r="G24" s="2"/>
      <c r="H24" s="18"/>
      <c r="I24" s="18"/>
      <c r="J24" s="1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9" t="s">
        <v>21</v>
      </c>
      <c r="B25" s="19"/>
      <c r="C25" s="24">
        <v>2.0</v>
      </c>
      <c r="D25" s="22"/>
      <c r="E25" s="22"/>
      <c r="F25" s="2"/>
      <c r="G25" s="2"/>
      <c r="H25" s="18"/>
      <c r="I25" s="25"/>
      <c r="J25" s="1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6" t="s">
        <v>22</v>
      </c>
      <c r="B26" s="26"/>
      <c r="C26" s="27">
        <f>SUM(C14:C25)</f>
        <v>44</v>
      </c>
      <c r="D26" s="22"/>
      <c r="E26" s="22"/>
      <c r="F26" s="2"/>
      <c r="G26" s="2"/>
      <c r="H26" s="12"/>
      <c r="I26" s="18"/>
      <c r="J26" s="1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8" t="s">
        <v>23</v>
      </c>
      <c r="B27" s="28"/>
      <c r="C27" s="29">
        <f>SUM(C28,C39)</f>
        <v>30</v>
      </c>
      <c r="D27" s="30"/>
      <c r="E27" s="31">
        <f>SUM(E28:E40)</f>
        <v>0</v>
      </c>
      <c r="F27" s="2"/>
      <c r="G27" s="2"/>
      <c r="H27" s="32"/>
      <c r="I27" s="18"/>
      <c r="J27" s="1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6" t="s">
        <v>24</v>
      </c>
      <c r="B28" s="26"/>
      <c r="C28" s="33">
        <v>18.0</v>
      </c>
      <c r="D28" s="21"/>
      <c r="E28" s="21"/>
      <c r="F28" s="2"/>
      <c r="G28" s="2"/>
      <c r="H28" s="12"/>
      <c r="I28" s="18"/>
      <c r="J28" s="1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9" t="s">
        <v>25</v>
      </c>
      <c r="B29" s="19"/>
      <c r="C29" s="20">
        <v>2.0</v>
      </c>
      <c r="D29" s="21"/>
      <c r="E29" s="21"/>
      <c r="F29" s="2"/>
      <c r="G29" s="2"/>
      <c r="H29" s="18"/>
      <c r="I29" s="18"/>
      <c r="J29" s="1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9" t="s">
        <v>26</v>
      </c>
      <c r="B30" s="19"/>
      <c r="C30" s="20">
        <v>1.0</v>
      </c>
      <c r="D30" s="21"/>
      <c r="E30" s="21"/>
      <c r="F30" s="2"/>
      <c r="G30" s="2"/>
      <c r="H30" s="18"/>
      <c r="I30" s="18"/>
      <c r="J30" s="1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9" t="s">
        <v>27</v>
      </c>
      <c r="B31" s="19"/>
      <c r="C31" s="20">
        <v>3.0</v>
      </c>
      <c r="D31" s="21"/>
      <c r="E31" s="21"/>
      <c r="F31" s="2"/>
      <c r="G31" s="2"/>
      <c r="H31" s="18"/>
      <c r="I31" s="18"/>
      <c r="J31" s="1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9" t="s">
        <v>28</v>
      </c>
      <c r="B32" s="19"/>
      <c r="C32" s="20">
        <v>1.0</v>
      </c>
      <c r="D32" s="21"/>
      <c r="E32" s="21"/>
      <c r="F32" s="2"/>
      <c r="G32" s="2"/>
      <c r="H32" s="18"/>
      <c r="I32" s="18"/>
      <c r="J32" s="1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9" t="s">
        <v>29</v>
      </c>
      <c r="B33" s="19"/>
      <c r="C33" s="20">
        <v>2.0</v>
      </c>
      <c r="D33" s="21"/>
      <c r="E33" s="21"/>
      <c r="F33" s="2"/>
      <c r="G33" s="2"/>
      <c r="H33" s="18"/>
      <c r="I33" s="18"/>
      <c r="J33" s="1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9" t="s">
        <v>30</v>
      </c>
      <c r="B34" s="19"/>
      <c r="C34" s="20">
        <v>1.0</v>
      </c>
      <c r="D34" s="21"/>
      <c r="E34" s="21"/>
      <c r="F34" s="2"/>
      <c r="G34" s="2"/>
      <c r="H34" s="18"/>
      <c r="I34" s="18"/>
      <c r="J34" s="1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9" t="s">
        <v>31</v>
      </c>
      <c r="B35" s="19"/>
      <c r="C35" s="20">
        <v>2.0</v>
      </c>
      <c r="D35" s="22"/>
      <c r="E35" s="22"/>
      <c r="F35" s="2"/>
      <c r="G35" s="2"/>
      <c r="H35" s="18"/>
      <c r="I35" s="18"/>
      <c r="J35" s="1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9" t="s">
        <v>32</v>
      </c>
      <c r="B36" s="19"/>
      <c r="C36" s="20">
        <v>2.0</v>
      </c>
      <c r="D36" s="22"/>
      <c r="E36" s="22"/>
      <c r="F36" s="2"/>
      <c r="G36" s="2"/>
      <c r="H36" s="18"/>
      <c r="I36" s="18"/>
      <c r="J36" s="1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9" t="s">
        <v>33</v>
      </c>
      <c r="B37" s="19"/>
      <c r="C37" s="20">
        <v>2.0</v>
      </c>
      <c r="D37" s="22"/>
      <c r="E37" s="22"/>
      <c r="F37" s="2"/>
      <c r="G37" s="2"/>
      <c r="H37" s="18"/>
      <c r="I37" s="18"/>
      <c r="J37" s="1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9" t="s">
        <v>34</v>
      </c>
      <c r="B38" s="19"/>
      <c r="C38" s="20">
        <v>2.0</v>
      </c>
      <c r="D38" s="22"/>
      <c r="E38" s="22"/>
      <c r="F38" s="2"/>
      <c r="G38" s="2"/>
      <c r="H38" s="18"/>
      <c r="I38" s="18"/>
      <c r="J38" s="1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 t="s">
        <v>35</v>
      </c>
      <c r="B39" s="10"/>
      <c r="C39" s="29">
        <f>SUM(C40:C46)</f>
        <v>12</v>
      </c>
      <c r="D39" s="30"/>
      <c r="E39" s="31">
        <f>SUM(E40:E50)</f>
        <v>0</v>
      </c>
      <c r="F39" s="2"/>
      <c r="G39" s="2"/>
      <c r="H39" s="32"/>
      <c r="I39" s="18"/>
      <c r="J39" s="1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9" t="s">
        <v>36</v>
      </c>
      <c r="B40" s="19"/>
      <c r="C40" s="20">
        <v>1.0</v>
      </c>
      <c r="D40" s="34"/>
      <c r="E40" s="35"/>
      <c r="F40" s="2"/>
      <c r="G40" s="2"/>
      <c r="H40" s="18"/>
      <c r="I40" s="18"/>
      <c r="J40" s="1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9" t="s">
        <v>37</v>
      </c>
      <c r="B41" s="19"/>
      <c r="C41" s="20">
        <v>2.0</v>
      </c>
      <c r="D41" s="34"/>
      <c r="E41" s="35"/>
      <c r="F41" s="2"/>
      <c r="G41" s="2"/>
      <c r="H41" s="18"/>
      <c r="I41" s="18"/>
      <c r="J41" s="1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9" t="s">
        <v>38</v>
      </c>
      <c r="B42" s="19"/>
      <c r="C42" s="20">
        <v>2.0</v>
      </c>
      <c r="D42" s="34"/>
      <c r="E42" s="35"/>
      <c r="F42" s="2"/>
      <c r="G42" s="2"/>
      <c r="H42" s="18"/>
      <c r="I42" s="18"/>
      <c r="J42" s="1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9" t="s">
        <v>39</v>
      </c>
      <c r="B43" s="19"/>
      <c r="C43" s="20">
        <v>2.0</v>
      </c>
      <c r="D43" s="34"/>
      <c r="E43" s="35"/>
      <c r="F43" s="2"/>
      <c r="G43" s="2"/>
      <c r="H43" s="18"/>
      <c r="I43" s="18"/>
      <c r="J43" s="1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9" t="s">
        <v>40</v>
      </c>
      <c r="B44" s="19"/>
      <c r="C44" s="20">
        <v>1.0</v>
      </c>
      <c r="D44" s="34"/>
      <c r="E44" s="35"/>
      <c r="F44" s="2"/>
      <c r="G44" s="2"/>
      <c r="H44" s="18"/>
      <c r="I44" s="18"/>
      <c r="J44" s="1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9" t="s">
        <v>41</v>
      </c>
      <c r="B45" s="19"/>
      <c r="C45" s="20">
        <v>2.0</v>
      </c>
      <c r="D45" s="34"/>
      <c r="E45" s="35"/>
      <c r="F45" s="2"/>
      <c r="G45" s="2"/>
      <c r="H45" s="18"/>
      <c r="I45" s="18"/>
      <c r="J45" s="1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9" t="s">
        <v>42</v>
      </c>
      <c r="B46" s="19"/>
      <c r="C46" s="20">
        <v>2.0</v>
      </c>
      <c r="D46" s="34"/>
      <c r="E46" s="35"/>
      <c r="F46" s="2"/>
      <c r="G46" s="2"/>
      <c r="H46" s="18"/>
      <c r="I46" s="18"/>
      <c r="J46" s="1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6" t="s">
        <v>22</v>
      </c>
      <c r="B47" s="26"/>
      <c r="C47" s="33">
        <v>2.0</v>
      </c>
      <c r="D47" s="34"/>
      <c r="E47" s="35"/>
      <c r="F47" s="2"/>
      <c r="G47" s="2"/>
      <c r="H47" s="12"/>
      <c r="I47" s="18"/>
      <c r="J47" s="1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9" t="s">
        <v>43</v>
      </c>
      <c r="B48" s="10"/>
      <c r="C48" s="29">
        <f>SUM(C49:C52)</f>
        <v>16</v>
      </c>
      <c r="D48" s="30"/>
      <c r="E48" s="31">
        <f>SUM(E49:E52)</f>
        <v>0</v>
      </c>
      <c r="F48" s="2"/>
      <c r="G48" s="2"/>
      <c r="H48" s="32"/>
      <c r="I48" s="18"/>
      <c r="J48" s="1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9" t="s">
        <v>44</v>
      </c>
      <c r="B49" s="19"/>
      <c r="C49" s="20">
        <v>4.0</v>
      </c>
      <c r="D49" s="34"/>
      <c r="E49" s="35"/>
      <c r="F49" s="2"/>
      <c r="G49" s="2"/>
      <c r="H49" s="18"/>
      <c r="I49" s="18"/>
      <c r="J49" s="1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9" t="s">
        <v>45</v>
      </c>
      <c r="B50" s="19"/>
      <c r="C50" s="20">
        <v>4.0</v>
      </c>
      <c r="D50" s="34"/>
      <c r="E50" s="35"/>
      <c r="F50" s="2"/>
      <c r="G50" s="2"/>
      <c r="H50" s="18"/>
      <c r="I50" s="18"/>
      <c r="J50" s="1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9" t="s">
        <v>46</v>
      </c>
      <c r="B51" s="19"/>
      <c r="C51" s="20">
        <v>2.0</v>
      </c>
      <c r="D51" s="34"/>
      <c r="E51" s="35"/>
      <c r="F51" s="2"/>
      <c r="G51" s="2"/>
      <c r="H51" s="18"/>
      <c r="I51" s="18"/>
      <c r="J51" s="1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9" t="s">
        <v>47</v>
      </c>
      <c r="B52" s="19"/>
      <c r="C52" s="20">
        <v>6.0</v>
      </c>
      <c r="D52" s="34"/>
      <c r="E52" s="35"/>
      <c r="F52" s="2"/>
      <c r="G52" s="2"/>
      <c r="H52" s="18"/>
      <c r="I52" s="18"/>
      <c r="J52" s="1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6" t="s">
        <v>22</v>
      </c>
      <c r="B53" s="26"/>
      <c r="C53" s="33">
        <f>SUM(C49:C52)</f>
        <v>16</v>
      </c>
      <c r="D53" s="34"/>
      <c r="E53" s="35"/>
      <c r="F53" s="2"/>
      <c r="G53" s="2"/>
      <c r="H53" s="12"/>
      <c r="I53" s="18"/>
      <c r="J53" s="1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9" t="s">
        <v>48</v>
      </c>
      <c r="B54" s="10"/>
      <c r="C54" s="29">
        <f>SUM(C55:C61)</f>
        <v>10</v>
      </c>
      <c r="D54" s="30"/>
      <c r="E54" s="31">
        <f>SUM(E55:E56)</f>
        <v>0</v>
      </c>
      <c r="F54" s="2"/>
      <c r="G54" s="2"/>
      <c r="H54" s="32"/>
      <c r="I54" s="18"/>
      <c r="J54" s="1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9" t="s">
        <v>49</v>
      </c>
      <c r="B55" s="19"/>
      <c r="C55" s="20">
        <v>4.0</v>
      </c>
      <c r="D55" s="34"/>
      <c r="E55" s="35"/>
      <c r="F55" s="2"/>
      <c r="G55" s="2"/>
      <c r="H55" s="18"/>
      <c r="I55" s="18"/>
      <c r="J55" s="1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6" t="s">
        <v>50</v>
      </c>
      <c r="B56" s="36"/>
      <c r="C56" s="20">
        <v>1.0</v>
      </c>
      <c r="D56" s="34"/>
      <c r="E56" s="35"/>
      <c r="F56" s="2"/>
      <c r="G56" s="2"/>
      <c r="H56" s="25"/>
      <c r="I56" s="18"/>
      <c r="J56" s="18"/>
      <c r="K56" s="3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9" t="s">
        <v>51</v>
      </c>
      <c r="B57" s="19"/>
      <c r="C57" s="20">
        <v>1.0</v>
      </c>
      <c r="D57" s="34"/>
      <c r="E57" s="38"/>
      <c r="F57" s="2"/>
      <c r="G57" s="2"/>
      <c r="H57" s="18"/>
      <c r="I57" s="18"/>
      <c r="J57" s="18"/>
      <c r="K57" s="3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9" t="s">
        <v>52</v>
      </c>
      <c r="B58" s="19"/>
      <c r="C58" s="20">
        <v>1.0</v>
      </c>
      <c r="D58" s="34"/>
      <c r="E58" s="35"/>
      <c r="F58" s="2"/>
      <c r="G58" s="2"/>
      <c r="H58" s="18"/>
      <c r="I58" s="18"/>
      <c r="J58" s="18"/>
      <c r="K58" s="3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9" t="s">
        <v>53</v>
      </c>
      <c r="B59" s="19"/>
      <c r="C59" s="20">
        <v>1.0</v>
      </c>
      <c r="D59" s="34"/>
      <c r="E59" s="35"/>
      <c r="F59" s="2"/>
      <c r="G59" s="2"/>
      <c r="H59" s="18"/>
      <c r="I59" s="18"/>
      <c r="J59" s="1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9" t="s">
        <v>54</v>
      </c>
      <c r="B60" s="19"/>
      <c r="C60" s="20">
        <v>1.0</v>
      </c>
      <c r="D60" s="22"/>
      <c r="E60" s="22"/>
      <c r="F60" s="2"/>
      <c r="G60" s="2"/>
      <c r="H60" s="18"/>
      <c r="I60" s="18"/>
      <c r="J60" s="18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9" t="s">
        <v>55</v>
      </c>
      <c r="B61" s="19"/>
      <c r="C61" s="20">
        <v>1.0</v>
      </c>
      <c r="D61" s="22"/>
      <c r="E61" s="22"/>
      <c r="F61" s="2"/>
      <c r="G61" s="2"/>
      <c r="H61" s="18"/>
      <c r="I61" s="18"/>
      <c r="J61" s="18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6" t="s">
        <v>22</v>
      </c>
      <c r="B62" s="26"/>
      <c r="C62" s="20">
        <f>SUM(C55:C61)</f>
        <v>10</v>
      </c>
      <c r="D62" s="22"/>
      <c r="E62" s="22"/>
      <c r="F62" s="2"/>
      <c r="G62" s="2"/>
      <c r="H62" s="12"/>
      <c r="I62" s="18"/>
      <c r="J62" s="1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9" t="s">
        <v>56</v>
      </c>
      <c r="B63" s="10"/>
      <c r="C63" s="29">
        <v>100.0</v>
      </c>
      <c r="D63" s="30"/>
      <c r="E63" s="31">
        <v>0.0</v>
      </c>
      <c r="F63" s="2"/>
      <c r="G63" s="2"/>
      <c r="H63" s="12"/>
      <c r="I63" s="1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9" t="s">
        <v>57</v>
      </c>
      <c r="B64" s="10"/>
      <c r="C64" s="40"/>
      <c r="D64" s="30"/>
      <c r="E64" s="3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41" t="s">
        <v>58</v>
      </c>
      <c r="B65" s="10"/>
      <c r="C65" s="42">
        <v>-0.1</v>
      </c>
      <c r="D65" s="34"/>
      <c r="E65" s="3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1" t="s">
        <v>59</v>
      </c>
      <c r="B66" s="10"/>
      <c r="C66" s="42">
        <v>-1.0</v>
      </c>
      <c r="D66" s="34"/>
      <c r="E66" s="35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1" t="s">
        <v>60</v>
      </c>
      <c r="B67" s="10"/>
      <c r="C67" s="42">
        <v>-0.4</v>
      </c>
      <c r="D67" s="34"/>
      <c r="E67" s="3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1" t="s">
        <v>61</v>
      </c>
      <c r="B68" s="10"/>
      <c r="C68" s="42">
        <v>-0.1</v>
      </c>
      <c r="D68" s="34"/>
      <c r="E68" s="35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1" t="s">
        <v>62</v>
      </c>
      <c r="B69" s="10"/>
      <c r="C69" s="42">
        <v>-0.1</v>
      </c>
      <c r="D69" s="34"/>
      <c r="E69" s="35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1" t="s">
        <v>63</v>
      </c>
      <c r="B70" s="10"/>
      <c r="C70" s="42">
        <v>-1.0</v>
      </c>
      <c r="D70" s="34"/>
      <c r="E70" s="3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9" t="s">
        <v>64</v>
      </c>
      <c r="B71" s="10"/>
      <c r="C71" s="40">
        <v>100.0</v>
      </c>
      <c r="D71" s="43"/>
      <c r="E71" s="31">
        <v>0.0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/>
      <c r="B72" s="8"/>
      <c r="C72" s="7"/>
      <c r="D72" s="5"/>
      <c r="E72" s="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44" t="s">
        <v>65</v>
      </c>
      <c r="B73" s="45"/>
      <c r="C73" s="7"/>
      <c r="D73" s="44" t="s">
        <v>66</v>
      </c>
      <c r="E73" s="4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"/>
      <c r="B74" s="7"/>
      <c r="C74" s="7"/>
      <c r="D74" s="7"/>
      <c r="E74" s="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 t="s">
        <v>67</v>
      </c>
      <c r="B75" s="7"/>
      <c r="C75" s="7" t="s">
        <v>68</v>
      </c>
      <c r="D75" s="7"/>
      <c r="E75" s="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6"/>
      <c r="B76" s="46"/>
      <c r="C76" s="46"/>
      <c r="D76" s="46"/>
      <c r="E76" s="4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6"/>
      <c r="B77" s="46"/>
      <c r="C77" s="46"/>
      <c r="D77" s="46"/>
      <c r="E77" s="4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6"/>
      <c r="B78" s="46"/>
      <c r="C78" s="46"/>
      <c r="D78" s="46"/>
      <c r="E78" s="4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E6"/>
    <mergeCell ref="A7:E8"/>
    <mergeCell ref="B10:D10"/>
    <mergeCell ref="A12:B12"/>
    <mergeCell ref="A23:B23"/>
    <mergeCell ref="A24:B24"/>
    <mergeCell ref="A39:B39"/>
    <mergeCell ref="A68:B68"/>
    <mergeCell ref="A69:B69"/>
    <mergeCell ref="A70:B70"/>
    <mergeCell ref="A71:B71"/>
    <mergeCell ref="A72:B72"/>
    <mergeCell ref="D72:E72"/>
    <mergeCell ref="A73:B73"/>
    <mergeCell ref="D73:E73"/>
    <mergeCell ref="A48:B48"/>
    <mergeCell ref="A54:B54"/>
    <mergeCell ref="A63:B63"/>
    <mergeCell ref="A64:B64"/>
    <mergeCell ref="A65:B65"/>
    <mergeCell ref="A66:B66"/>
    <mergeCell ref="A67:B67"/>
  </mergeCell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