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rencia" sheetId="1" r:id="rId4"/>
  </sheets>
  <definedNames/>
  <calcPr/>
  <extLst>
    <ext uri="GoogleSheetsCustomDataVersion2">
      <go:sheetsCustomData xmlns:go="http://customooxmlschemas.google.com/" r:id="rId5" roundtripDataChecksum="D6F2avPvxCLBIO2bFzJBalpBAt5WrTfhw8xlUaivm20="/>
    </ext>
  </extLst>
</workbook>
</file>

<file path=xl/sharedStrings.xml><?xml version="1.0" encoding="utf-8"?>
<sst xmlns="http://schemas.openxmlformats.org/spreadsheetml/2006/main" count="60" uniqueCount="60">
  <si>
    <t xml:space="preserve">Universidad de San Carlos de Guatemala
Facultad de Ingeniería
Escuela de Ciencias y Sistemas
Estructura de Datos 
</t>
  </si>
  <si>
    <t>Ing. Alvaro Obrayan
Ing. Edgar Ornelis
Ing. Luis Espino</t>
  </si>
  <si>
    <t>Auxiliar: x
Auxiliar: x
Auxiliar: x</t>
  </si>
  <si>
    <t>Hoja de calificacion - Proyecto Fase 1</t>
  </si>
  <si>
    <t>Fecha:</t>
  </si>
  <si>
    <t>Carné:</t>
  </si>
  <si>
    <t>Nombre:</t>
  </si>
  <si>
    <t>Descripción de ponderación</t>
  </si>
  <si>
    <t>Valor</t>
  </si>
  <si>
    <t>Observaciones</t>
  </si>
  <si>
    <t>Puntero</t>
  </si>
  <si>
    <t>Implementación de Estructuras de Datos</t>
  </si>
  <si>
    <t>Árbol Binario de Búsqueda (Catálogo de VMs ordenado por Dirección IP/ID)</t>
  </si>
  <si>
    <t>Lista Circular Doblemente Enlazada (Anillo de Tiquetes e Incidencias de Red)</t>
  </si>
  <si>
    <t>Lista Circular de Listas (Clientes Corporativos y Microservicios/Contenedores)</t>
  </si>
  <si>
    <t>Matriz Dispersa (Mapa Físico de Racks vs. Slots U de Altura)</t>
  </si>
  <si>
    <t>Funcionalidades del Sistema, Administrador</t>
  </si>
  <si>
    <t>Gestión de Servidores Virtuales VMs en Cartelera/Catálogo</t>
  </si>
  <si>
    <t>Carga Masiva de VMs desde Archivos CSV</t>
  </si>
  <si>
    <t>Gestionar Clientes Corporativos</t>
  </si>
  <si>
    <t>Agregar Microservicios y Contenedores a Clientes Corporativos</t>
  </si>
  <si>
    <t>Gestionar Tiquetes e Incidencias (Pendiente, En Proceso, Atendida, Resuelta)</t>
  </si>
  <si>
    <t>Visualizar Catálogo Completo de Servidores VMs</t>
  </si>
  <si>
    <t>Alertas sobre VMs próximas a mantenimiento/vencimiento</t>
  </si>
  <si>
    <t>Asignación de Servidor a Slots U en Racks</t>
  </si>
  <si>
    <t>Visualizar Todos los Racks Configurables</t>
  </si>
  <si>
    <t>Eliminar Asignación de Servidores en Rack</t>
  </si>
  <si>
    <t>Visualizar Estado de Ocupación de un Rack Especificado</t>
  </si>
  <si>
    <t>Funcionalidades del Cliente</t>
  </si>
  <si>
    <t>Ver Catálogo Completo de Servidores VMs Disponibles</t>
  </si>
  <si>
    <t>Buscar Servidores VMs por Código / IP</t>
  </si>
  <si>
    <t>Realizar Reserva de Slot U en Rack</t>
  </si>
  <si>
    <t>Cancelar Reserva y Liberar Slot U</t>
  </si>
  <si>
    <t>Consultar Clientes y Microservicios Activos</t>
  </si>
  <si>
    <t>Crear Tiquete de Incidencia de Red/Soporte</t>
  </si>
  <si>
    <t>Visualizar Estado de Tiquetes de Incidencias</t>
  </si>
  <si>
    <t>Reportes Gráficos con Graphviz</t>
  </si>
  <si>
    <t>Reporte BST - Catálogo de Servidores Virtuales (VMs)</t>
  </si>
  <si>
    <t>Reporte Lista Circular Doble - Tiquetes e Incidencias</t>
  </si>
  <si>
    <t>Reporte Lista Circular de Listas - Clientes y Microservicios</t>
  </si>
  <si>
    <t>Reporte Matriz Dispersa - Ocupación de Racks y Slots U</t>
  </si>
  <si>
    <t>Documentación</t>
  </si>
  <si>
    <t>Manual técnico</t>
  </si>
  <si>
    <t>Preguntas</t>
  </si>
  <si>
    <t>Pregunta 1</t>
  </si>
  <si>
    <t>Pregunta 2</t>
  </si>
  <si>
    <t>Modificación de Código en Vivo durante la Calificación</t>
  </si>
  <si>
    <t>Puntuación Total</t>
  </si>
  <si>
    <t>Condiciones de aceptación</t>
  </si>
  <si>
    <t xml:space="preserve">Utilizar el lenguaje C++ </t>
  </si>
  <si>
    <t>El proyecto deberá cumplir con las siguientes condiciones para ser aceptado y considerado para evaluación. El incumplimiento de cualquiera de estas condiciones podrá ocasionar que el proyecto no sea aceptado para calificación.</t>
  </si>
  <si>
    <t>Implementar manualmente la estructura</t>
  </si>
  <si>
    <t>Presentarse puntualmente en la calificación</t>
  </si>
  <si>
    <t>Los reportes se pueden visualizar desde la interfaz</t>
  </si>
  <si>
    <t>Entregar su repositorio en UEDI</t>
  </si>
  <si>
    <t>Agregar al auxiliar al repositorio</t>
  </si>
  <si>
    <t>Firma del estudiante</t>
  </si>
  <si>
    <t>Firma del auxiliar</t>
  </si>
  <si>
    <t>Origianal Estudiante</t>
  </si>
  <si>
    <t>Copia tutor Académico (a entregar a coordinación DTT-ECYS)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</si>
</sst>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0">
    <font>
      <sz val="10.0"/>
      <color rgb="FF000000"/>
      <name val="Arial"/>
      <scheme val="minor"/>
    </font>
    <font>
      <sz val="12.0"/>
      <color theme="1"/>
      <name val="Times New Roman"/>
    </font>
    <font>
      <sz val="12.0"/>
      <color theme="1"/>
      <name val="Arial"/>
    </font>
    <font>
      <color theme="1"/>
      <name val="Arial"/>
    </font>
    <font>
      <b/>
      <sz val="19.0"/>
      <color theme="1"/>
      <name val="Times New Roman"/>
    </font>
    <font/>
    <font>
      <b/>
      <sz val="12.0"/>
      <color rgb="FFFFFFFF"/>
      <name val="Times New Roman"/>
    </font>
    <font>
      <b/>
      <color theme="1"/>
      <name val="Arial"/>
    </font>
    <font>
      <sz val="12.0"/>
      <color rgb="FFFFFFFF"/>
      <name val="Times New Roman"/>
    </font>
    <font>
      <sz val="12.0"/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4C1130"/>
        <bgColor rgb="FF4C1130"/>
      </patternFill>
    </fill>
    <fill>
      <patternFill patternType="solid">
        <fgColor rgb="FFA64D79"/>
        <bgColor rgb="FFA64D79"/>
      </patternFill>
    </fill>
  </fills>
  <borders count="13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Font="1"/>
    <xf borderId="0" fillId="0" fontId="1" numFmtId="0" xfId="0" applyAlignment="1" applyFont="1">
      <alignment readingOrder="0" shrinkToFit="0" vertical="top" wrapText="1"/>
    </xf>
    <xf borderId="0" fillId="0" fontId="3" numFmtId="0" xfId="0" applyAlignment="1" applyFont="1">
      <alignment vertical="top"/>
    </xf>
    <xf borderId="0" fillId="0" fontId="4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1" fillId="0" fontId="1" numFmtId="0" xfId="0" applyAlignment="1" applyBorder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1" fillId="0" fontId="5" numFmtId="0" xfId="0" applyBorder="1" applyFont="1"/>
    <xf borderId="2" fillId="2" fontId="6" numFmtId="0" xfId="0" applyAlignment="1" applyBorder="1" applyFill="1" applyFont="1">
      <alignment horizontal="center" vertical="bottom"/>
    </xf>
    <xf borderId="3" fillId="0" fontId="5" numFmtId="0" xfId="0" applyBorder="1" applyFont="1"/>
    <xf borderId="4" fillId="2" fontId="6" numFmtId="0" xfId="0" applyAlignment="1" applyBorder="1" applyFill="1" applyFont="1">
      <alignment horizontal="center" vertical="bottom"/>
    </xf>
    <xf borderId="0" fillId="0" fontId="7" numFmtId="0" xfId="0" applyAlignment="1" applyFont="1">
      <alignment horizontal="center"/>
    </xf>
    <xf borderId="2" fillId="2" fontId="6" numFmtId="0" xfId="0" applyAlignment="1" applyBorder="1" applyFill="1" applyFont="1">
      <alignment horizontal="center" shrinkToFit="0" vertical="bottom" wrapText="1"/>
    </xf>
    <xf borderId="4" fillId="2" fontId="6" numFmtId="1" xfId="0" applyAlignment="1" applyBorder="1" applyFill="1" applyFont="1" applyNumberFormat="1">
      <alignment horizontal="center" shrinkToFit="0" vertical="bottom" wrapText="1"/>
    </xf>
    <xf borderId="4" fillId="2" fontId="8" numFmtId="0" xfId="0" applyAlignment="1" applyBorder="1" applyFill="1" applyFont="1">
      <alignment vertical="bottom"/>
    </xf>
    <xf borderId="4" fillId="2" fontId="6" numFmtId="2" xfId="0" applyAlignment="1" applyBorder="1" applyFill="1" applyFont="1" applyNumberFormat="1">
      <alignment horizontal="center" vertical="bottom"/>
    </xf>
    <xf borderId="2" fillId="0" fontId="1" numFmtId="0" xfId="0" applyAlignment="1" applyBorder="1" applyFont="1">
      <alignment shrinkToFit="0" vertical="bottom" wrapText="1"/>
    </xf>
    <xf borderId="4" fillId="0" fontId="1" numFmtId="1" xfId="0" applyAlignment="1" applyBorder="1" applyFont="1" applyNumberFormat="1">
      <alignment horizontal="center" shrinkToFit="0" vertical="bottom" wrapText="1"/>
    </xf>
    <xf borderId="4" fillId="0" fontId="1" numFmtId="1" xfId="0" applyAlignment="1" applyBorder="1" applyFont="1" applyNumberFormat="1">
      <alignment vertical="bottom"/>
    </xf>
    <xf borderId="4" fillId="0" fontId="1" numFmtId="1" xfId="0" applyAlignment="1" applyBorder="1" applyFont="1" applyNumberFormat="1">
      <alignment horizontal="center" vertical="bottom"/>
    </xf>
    <xf borderId="2" fillId="0" fontId="1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4" fillId="0" fontId="1" numFmtId="2" xfId="0" applyAlignment="1" applyBorder="1" applyFont="1" applyNumberFormat="1">
      <alignment horizontal="center" vertical="bottom"/>
    </xf>
    <xf borderId="1" fillId="0" fontId="9" numFmtId="0" xfId="0" applyBorder="1" applyFont="1"/>
    <xf borderId="5" fillId="0" fontId="5" numFmtId="0" xfId="0" applyBorder="1" applyFont="1"/>
    <xf borderId="4" fillId="0" fontId="1" numFmtId="164" xfId="0" applyAlignment="1" applyBorder="1" applyFont="1" applyNumberFormat="1">
      <alignment horizontal="center" shrinkToFit="0" vertical="bottom" wrapText="1"/>
    </xf>
    <xf borderId="2" fillId="3" fontId="6" numFmtId="0" xfId="0" applyAlignment="1" applyBorder="1" applyFill="1" applyFont="1">
      <alignment horizontal="center" vertical="bottom"/>
    </xf>
    <xf borderId="6" fillId="0" fontId="5" numFmtId="0" xfId="0" applyBorder="1" applyFont="1"/>
    <xf borderId="7" fillId="0" fontId="1" numFmtId="0" xfId="0" applyAlignment="1" applyBorder="1" applyFont="1">
      <alignment horizontal="center" shrinkToFit="0" vertical="center" wrapText="1"/>
    </xf>
    <xf borderId="8" fillId="0" fontId="5" numFmtId="0" xfId="0" applyBorder="1" applyFont="1"/>
    <xf borderId="9" fillId="0" fontId="5" numFmtId="0" xfId="0" applyBorder="1" applyFont="1"/>
    <xf borderId="0" fillId="0" fontId="3" numFmtId="9" xfId="0" applyFont="1" applyNumberFormat="1"/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8" fillId="0" fontId="1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504825</xdr:colOff>
      <xdr:row>0</xdr:row>
      <xdr:rowOff>161925</xdr:rowOff>
    </xdr:from>
    <xdr:ext cx="1285875" cy="12858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C343D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4.5"/>
    <col customWidth="1" min="2" max="2" width="25.25"/>
    <col customWidth="1" min="5" max="5" width="11.0"/>
    <col customWidth="1" min="7" max="7" width="45.75"/>
  </cols>
  <sheetData>
    <row r="1" ht="80.25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51.0" customHeight="1">
      <c r="A2" s="1" t="s">
        <v>1</v>
      </c>
      <c r="B2" s="3" t="s">
        <v>2</v>
      </c>
      <c r="C2" s="4"/>
      <c r="D2" s="4"/>
      <c r="E2" s="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1"/>
      <c r="B3" s="1"/>
      <c r="C3" s="1"/>
      <c r="D3" s="1"/>
      <c r="E3" s="1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1"/>
      <c r="B4" s="1"/>
      <c r="C4" s="1"/>
      <c r="D4" s="1"/>
      <c r="E4" s="1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5" t="s">
        <v>3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6" t="s">
        <v>4</v>
      </c>
      <c r="B7" s="7"/>
      <c r="C7" s="8" t="s">
        <v>5</v>
      </c>
      <c r="D7" s="7"/>
      <c r="E7" s="9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6" t="s">
        <v>6</v>
      </c>
      <c r="B8" s="7"/>
      <c r="C8" s="10"/>
      <c r="D8" s="10"/>
      <c r="E8" s="9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9"/>
      <c r="B9" s="9"/>
      <c r="C9" s="9"/>
      <c r="D9" s="9"/>
      <c r="E9" s="9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11" t="s">
        <v>7</v>
      </c>
      <c r="B10" s="12"/>
      <c r="C10" s="13" t="s">
        <v>8</v>
      </c>
      <c r="D10" s="13" t="s">
        <v>9</v>
      </c>
      <c r="E10" s="13" t="s">
        <v>10</v>
      </c>
      <c r="F10" s="2"/>
      <c r="H10" s="14"/>
      <c r="I10" s="14"/>
      <c r="J10" s="14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15" t="s">
        <v>11</v>
      </c>
      <c r="B11" s="12"/>
      <c r="C11" s="16">
        <f>SUM(C12:C15)</f>
        <v>40</v>
      </c>
      <c r="D11" s="17"/>
      <c r="E11" s="18">
        <f>SUM(E12:E15)</f>
        <v>0</v>
      </c>
      <c r="F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19" t="s">
        <v>12</v>
      </c>
      <c r="B12" s="12"/>
      <c r="C12" s="20">
        <v>10.0</v>
      </c>
      <c r="D12" s="21"/>
      <c r="E12" s="22"/>
      <c r="F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19" t="s">
        <v>13</v>
      </c>
      <c r="B13" s="12"/>
      <c r="C13" s="20">
        <v>9.0</v>
      </c>
      <c r="D13" s="21"/>
      <c r="E13" s="22"/>
      <c r="F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19" t="s">
        <v>14</v>
      </c>
      <c r="B14" s="12"/>
      <c r="C14" s="20">
        <v>9.0</v>
      </c>
      <c r="D14" s="21"/>
      <c r="E14" s="22"/>
      <c r="F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9" t="s">
        <v>15</v>
      </c>
      <c r="B15" s="12"/>
      <c r="C15" s="20">
        <v>12.0</v>
      </c>
      <c r="D15" s="21"/>
      <c r="E15" s="22"/>
      <c r="F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11" t="s">
        <v>16</v>
      </c>
      <c r="B16" s="12"/>
      <c r="C16" s="16">
        <f>SUM(C17:C27)</f>
        <v>19</v>
      </c>
      <c r="D16" s="17"/>
      <c r="E16" s="18">
        <f>SUM(E17:E27)</f>
        <v>0</v>
      </c>
      <c r="F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3" t="s">
        <v>17</v>
      </c>
      <c r="B17" s="12"/>
      <c r="C17" s="20">
        <v>2.0</v>
      </c>
      <c r="D17" s="21"/>
      <c r="E17" s="22"/>
      <c r="F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19" t="s">
        <v>18</v>
      </c>
      <c r="B18" s="12"/>
      <c r="C18" s="20">
        <v>1.0</v>
      </c>
      <c r="D18" s="21"/>
      <c r="E18" s="22"/>
      <c r="F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19" t="s">
        <v>19</v>
      </c>
      <c r="B19" s="12"/>
      <c r="C19" s="20">
        <v>1.0</v>
      </c>
      <c r="D19" s="21"/>
      <c r="E19" s="22"/>
      <c r="F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19" t="s">
        <v>20</v>
      </c>
      <c r="B20" s="12"/>
      <c r="C20" s="20">
        <v>3.0</v>
      </c>
      <c r="D20" s="21"/>
      <c r="E20" s="22"/>
      <c r="F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9" t="s">
        <v>21</v>
      </c>
      <c r="B21" s="12"/>
      <c r="C21" s="20">
        <v>3.0</v>
      </c>
      <c r="D21" s="21"/>
      <c r="E21" s="22"/>
      <c r="F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3" t="s">
        <v>22</v>
      </c>
      <c r="B22" s="12"/>
      <c r="C22" s="20">
        <v>1.0</v>
      </c>
      <c r="D22" s="21"/>
      <c r="E22" s="22"/>
      <c r="F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3" t="s">
        <v>23</v>
      </c>
      <c r="B23" s="12"/>
      <c r="C23" s="20">
        <v>2.0</v>
      </c>
      <c r="D23" s="21"/>
      <c r="E23" s="22"/>
      <c r="F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3" t="s">
        <v>24</v>
      </c>
      <c r="B24" s="12"/>
      <c r="C24" s="20">
        <v>2.0</v>
      </c>
      <c r="D24" s="21"/>
      <c r="E24" s="22"/>
      <c r="F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3" t="s">
        <v>25</v>
      </c>
      <c r="B25" s="12"/>
      <c r="C25" s="20">
        <v>1.0</v>
      </c>
      <c r="D25" s="21"/>
      <c r="E25" s="22"/>
      <c r="F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3" t="s">
        <v>26</v>
      </c>
      <c r="B26" s="12"/>
      <c r="C26" s="20">
        <v>2.0</v>
      </c>
      <c r="D26" s="21"/>
      <c r="E26" s="22"/>
      <c r="F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3" t="s">
        <v>27</v>
      </c>
      <c r="B27" s="12"/>
      <c r="C27" s="20">
        <v>1.0</v>
      </c>
      <c r="D27" s="21"/>
      <c r="E27" s="22"/>
      <c r="F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1" t="s">
        <v>28</v>
      </c>
      <c r="B28" s="12"/>
      <c r="C28" s="16">
        <f>SUM(C29:C35)</f>
        <v>12</v>
      </c>
      <c r="D28" s="17"/>
      <c r="E28" s="18">
        <f>SUM(E29:E35)</f>
        <v>0</v>
      </c>
      <c r="F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3" t="s">
        <v>29</v>
      </c>
      <c r="B29" s="12"/>
      <c r="C29" s="20">
        <v>1.0</v>
      </c>
      <c r="D29" s="24"/>
      <c r="E29" s="25"/>
      <c r="F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6" t="s">
        <v>30</v>
      </c>
      <c r="B30" s="27"/>
      <c r="C30" s="20">
        <v>1.0</v>
      </c>
      <c r="D30" s="24"/>
      <c r="E30" s="25"/>
      <c r="F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3" t="s">
        <v>31</v>
      </c>
      <c r="B31" s="12"/>
      <c r="C31" s="20">
        <v>2.0</v>
      </c>
      <c r="D31" s="24"/>
      <c r="E31" s="25"/>
      <c r="F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3" t="s">
        <v>32</v>
      </c>
      <c r="B32" s="12"/>
      <c r="C32" s="20">
        <v>2.0</v>
      </c>
      <c r="D32" s="24"/>
      <c r="E32" s="25"/>
      <c r="F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3" t="s">
        <v>33</v>
      </c>
      <c r="B33" s="12"/>
      <c r="C33" s="20">
        <v>2.0</v>
      </c>
      <c r="D33" s="24"/>
      <c r="E33" s="25"/>
      <c r="F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3" t="s">
        <v>34</v>
      </c>
      <c r="B34" s="12"/>
      <c r="C34" s="20">
        <v>2.0</v>
      </c>
      <c r="D34" s="24"/>
      <c r="E34" s="25"/>
      <c r="F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3" t="s">
        <v>35</v>
      </c>
      <c r="B35" s="12"/>
      <c r="C35" s="20">
        <v>2.0</v>
      </c>
      <c r="D35" s="24"/>
      <c r="E35" s="25"/>
      <c r="F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1" t="s">
        <v>36</v>
      </c>
      <c r="B36" s="12"/>
      <c r="C36" s="16">
        <f>SUM(C37:C40)</f>
        <v>18</v>
      </c>
      <c r="D36" s="17"/>
      <c r="E36" s="18">
        <f>SUM(E37:E40)</f>
        <v>0</v>
      </c>
      <c r="F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3" t="s">
        <v>37</v>
      </c>
      <c r="B37" s="12"/>
      <c r="C37" s="20">
        <v>5.0</v>
      </c>
      <c r="D37" s="24"/>
      <c r="E37" s="25"/>
      <c r="F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3" t="s">
        <v>38</v>
      </c>
      <c r="B38" s="12"/>
      <c r="C38" s="20">
        <v>3.0</v>
      </c>
      <c r="D38" s="24"/>
      <c r="E38" s="25"/>
      <c r="F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3" t="s">
        <v>39</v>
      </c>
      <c r="B39" s="12"/>
      <c r="C39" s="20">
        <v>2.0</v>
      </c>
      <c r="D39" s="24"/>
      <c r="E39" s="25"/>
      <c r="F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3" t="s">
        <v>40</v>
      </c>
      <c r="B40" s="12"/>
      <c r="C40" s="20">
        <v>8.0</v>
      </c>
      <c r="D40" s="24"/>
      <c r="E40" s="25"/>
      <c r="F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1" t="s">
        <v>41</v>
      </c>
      <c r="B41" s="12"/>
      <c r="C41" s="16">
        <f>SUM(C42)</f>
        <v>1</v>
      </c>
      <c r="D41" s="17"/>
      <c r="E41" s="18">
        <f>SUM(E42)</f>
        <v>0</v>
      </c>
      <c r="F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3" t="s">
        <v>42</v>
      </c>
      <c r="B42" s="12"/>
      <c r="C42" s="28">
        <v>1.0</v>
      </c>
      <c r="D42" s="24"/>
      <c r="E42" s="25"/>
      <c r="F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1" t="s">
        <v>43</v>
      </c>
      <c r="B43" s="12"/>
      <c r="C43" s="16">
        <f>SUM(C44:C46)</f>
        <v>10</v>
      </c>
      <c r="D43" s="17"/>
      <c r="E43" s="18">
        <f>SUM(E44:E45)</f>
        <v>0</v>
      </c>
      <c r="F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3" t="s">
        <v>44</v>
      </c>
      <c r="B44" s="12"/>
      <c r="C44" s="28">
        <v>3.0</v>
      </c>
      <c r="D44" s="24"/>
      <c r="E44" s="25"/>
      <c r="F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3" t="s">
        <v>45</v>
      </c>
      <c r="B45" s="12"/>
      <c r="C45" s="28">
        <v>3.0</v>
      </c>
      <c r="D45" s="24"/>
      <c r="E45" s="25"/>
      <c r="F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4" t="s">
        <v>46</v>
      </c>
      <c r="B46" s="24"/>
      <c r="C46" s="28">
        <v>4.0</v>
      </c>
      <c r="D46" s="24"/>
      <c r="E46" s="25"/>
      <c r="F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1" t="s">
        <v>47</v>
      </c>
      <c r="B47" s="12"/>
      <c r="C47" s="16">
        <f>SUM(C43,C41,C36,C28,C16,C11)</f>
        <v>100</v>
      </c>
      <c r="D47" s="17"/>
      <c r="E47" s="18">
        <f>SUM(E43,E41,E36,E28,E16,E11)</f>
        <v>0</v>
      </c>
      <c r="F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9" t="s">
        <v>48</v>
      </c>
      <c r="B48" s="30"/>
      <c r="C48" s="30"/>
      <c r="D48" s="30"/>
      <c r="E48" s="12"/>
      <c r="F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3" t="s">
        <v>49</v>
      </c>
      <c r="B49" s="12"/>
      <c r="C49" s="31" t="s">
        <v>50</v>
      </c>
      <c r="D49" s="32"/>
      <c r="E49" s="33"/>
      <c r="F49" s="2"/>
      <c r="H49" s="34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3" t="s">
        <v>51</v>
      </c>
      <c r="B50" s="12"/>
      <c r="C50" s="35"/>
      <c r="E50" s="36"/>
      <c r="F50" s="2"/>
      <c r="H50" s="34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3" t="s">
        <v>52</v>
      </c>
      <c r="B51" s="12"/>
      <c r="C51" s="35"/>
      <c r="E51" s="36"/>
      <c r="F51" s="2"/>
      <c r="H51" s="34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3" t="s">
        <v>53</v>
      </c>
      <c r="B52" s="12"/>
      <c r="C52" s="35"/>
      <c r="E52" s="36"/>
      <c r="F52" s="2"/>
      <c r="H52" s="34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3" t="s">
        <v>54</v>
      </c>
      <c r="B53" s="12"/>
      <c r="C53" s="35"/>
      <c r="E53" s="36"/>
      <c r="F53" s="2"/>
      <c r="H53" s="34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3" t="s">
        <v>55</v>
      </c>
      <c r="B54" s="12"/>
      <c r="C54" s="37"/>
      <c r="D54" s="10"/>
      <c r="E54" s="27"/>
      <c r="F54" s="2"/>
      <c r="H54" s="34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9"/>
      <c r="B55" s="9"/>
      <c r="C55" s="9"/>
      <c r="D55" s="9"/>
      <c r="E55" s="9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9"/>
      <c r="B56" s="9"/>
      <c r="C56" s="9"/>
      <c r="D56" s="9"/>
      <c r="E56" s="9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7"/>
      <c r="B57" s="10"/>
      <c r="C57" s="9"/>
      <c r="D57" s="7"/>
      <c r="E57" s="10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8" t="s">
        <v>56</v>
      </c>
      <c r="B58" s="32"/>
      <c r="C58" s="9"/>
      <c r="D58" s="38" t="s">
        <v>57</v>
      </c>
      <c r="E58" s="3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9"/>
      <c r="B59" s="9"/>
      <c r="C59" s="9"/>
      <c r="D59" s="9"/>
      <c r="E59" s="9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9" t="s">
        <v>58</v>
      </c>
      <c r="B60" s="9" t="s">
        <v>59</v>
      </c>
      <c r="D60" s="9"/>
      <c r="E60" s="9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9"/>
      <c r="B61" s="39"/>
      <c r="C61" s="39"/>
      <c r="D61" s="39"/>
      <c r="E61" s="39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9"/>
      <c r="B62" s="39"/>
      <c r="C62" s="39"/>
      <c r="D62" s="39"/>
      <c r="E62" s="39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9"/>
      <c r="B63" s="39"/>
      <c r="C63" s="39"/>
      <c r="D63" s="39"/>
      <c r="E63" s="39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52">
    <mergeCell ref="A53:B53"/>
    <mergeCell ref="A54:B54"/>
    <mergeCell ref="A57:B57"/>
    <mergeCell ref="A58:B58"/>
    <mergeCell ref="D57:E57"/>
    <mergeCell ref="D58:E58"/>
    <mergeCell ref="A42:B42"/>
    <mergeCell ref="A43:B43"/>
    <mergeCell ref="A44:B44"/>
    <mergeCell ref="A45:B45"/>
    <mergeCell ref="A47:B47"/>
    <mergeCell ref="A48:E48"/>
    <mergeCell ref="C49:E54"/>
    <mergeCell ref="A5:E6"/>
    <mergeCell ref="B8:D8"/>
    <mergeCell ref="A10:B10"/>
    <mergeCell ref="A11:B11"/>
    <mergeCell ref="A12:B12"/>
    <mergeCell ref="A13:B13"/>
    <mergeCell ref="A1:E1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9:B49"/>
    <mergeCell ref="A50:B50"/>
    <mergeCell ref="A51:B51"/>
    <mergeCell ref="A52:B52"/>
  </mergeCells>
  <printOptions horizontalCentered="1" verticalCentered="1"/>
  <pageMargins bottom="0.75" footer="0.0" header="0.0" left="0.25" right="0.25" top="0.75"/>
  <pageSetup fitToHeight="0" orientation="portrait"/>
  <drawing r:id="rId1"/>
</worksheet>
</file>